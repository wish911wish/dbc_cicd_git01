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スト案一覧" sheetId="1" state="visible" r:id="rId3"/>
    <sheet name="カバレッジ" sheetId="2" state="visible" r:id="rId4"/>
    <sheet name="確認観点" sheetId="3" state="visible" r:id="rId5"/>
    <sheet name="注意事項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<sst xmlns="http://schemas.openxmlformats.org/spreadsheetml/2006/main" count="234" uniqueCount="137">
  <si>
    <t xml:space="preserve">不整合データのエラー連携テスト案（本番データ接続下の一気通貫テスト）</t>
  </si>
  <si>
    <r>
      <rPr>
        <sz val="10"/>
        <color rgb="FF595959"/>
        <rFont val="Noto Sans CJK SC"/>
        <family val="2"/>
      </rPr>
      <t xml:space="preserve">前提：</t>
    </r>
    <r>
      <rPr>
        <sz val="10"/>
        <color rgb="FF595959"/>
        <rFont val="Arial"/>
        <family val="0"/>
        <charset val="1"/>
      </rPr>
      <t xml:space="preserve">DWH</t>
    </r>
    <r>
      <rPr>
        <sz val="10"/>
        <color rgb="FF595959"/>
        <rFont val="Noto Sans CJK SC"/>
        <family val="2"/>
      </rPr>
      <t xml:space="preserve">（</t>
    </r>
    <r>
      <rPr>
        <sz val="10"/>
        <color rgb="FF595959"/>
        <rFont val="Arial"/>
        <family val="0"/>
        <charset val="1"/>
      </rPr>
      <t xml:space="preserve">Databricks</t>
    </r>
    <r>
      <rPr>
        <sz val="10"/>
        <color rgb="FF595959"/>
        <rFont val="Noto Sans CJK SC"/>
        <family val="2"/>
      </rPr>
      <t xml:space="preserve">・メダリオン）は本番データ接続、</t>
    </r>
    <r>
      <rPr>
        <sz val="10"/>
        <color rgb="FF595959"/>
        <rFont val="Arial"/>
        <family val="0"/>
        <charset val="1"/>
      </rPr>
      <t xml:space="preserve">Power BI</t>
    </r>
    <r>
      <rPr>
        <sz val="10"/>
        <color rgb="FF595959"/>
        <rFont val="Noto Sans CJK SC"/>
        <family val="2"/>
      </rPr>
      <t xml:space="preserve">は開発環境。本番データの書き換えは行わない。黄色の列は記入欄。</t>
    </r>
  </si>
  <si>
    <t xml:space="preserve">No</t>
  </si>
  <si>
    <t xml:space="preserve">分類</t>
  </si>
  <si>
    <t xml:space="preserve">案</t>
  </si>
  <si>
    <t xml:space="preserve">概要</t>
  </si>
  <si>
    <t xml:space="preserve">実施内容</t>
  </si>
  <si>
    <t xml:space="preserve">主に検証できる区間</t>
  </si>
  <si>
    <t xml:space="preserve">本番への影響</t>
  </si>
  <si>
    <t xml:space="preserve">制約・前提</t>
  </si>
  <si>
    <t xml:space="preserve">実施タイミング</t>
  </si>
  <si>
    <t xml:space="preserve">担当</t>
  </si>
  <si>
    <t xml:space="preserve">ステータス</t>
  </si>
  <si>
    <t xml:space="preserve">備考</t>
  </si>
  <si>
    <t xml:space="preserve">1</t>
  </si>
  <si>
    <t xml:space="preserve">本番経路（受動）</t>
  </si>
  <si>
    <t xml:space="preserve">既存・発生済みの不整合を追跡</t>
  </si>
  <si>
    <t xml:space="preserve">本番データに既に含まれる不整合、またはテスト期間中に発生した不整合を使って検証する。</t>
  </si>
  <si>
    <r>
      <rPr>
        <sz val="10"/>
        <rFont val="Noto Sans CJK SC"/>
        <family val="2"/>
      </rPr>
      <t xml:space="preserve">・テスト前に、シルバーの検証ルールと同条件の検出クエリをブロンズに流し、エラーになるはずのレコードを洗い出す
・パイプライン実行後、予測レコードと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テーブル格納レコードを突き合わせる</t>
    </r>
  </si>
  <si>
    <r>
      <rPr>
        <sz val="10"/>
        <rFont val="Noto Sans CJK SC"/>
        <family val="2"/>
      </rPr>
      <t xml:space="preserve">検出／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の内容</t>
    </r>
  </si>
  <si>
    <t xml:space="preserve">なし（読み取りのみ）</t>
  </si>
  <si>
    <r>
      <rPr>
        <sz val="10"/>
        <rFont val="Noto Sans CJK SC"/>
        <family val="2"/>
      </rPr>
      <t xml:space="preserve">対象となる不整合が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件ならエラー経路のテストは成立しない。他案で補う。</t>
    </r>
  </si>
  <si>
    <t xml:space="preserve">一気通貫テスト期間中（発生すれば）</t>
  </si>
  <si>
    <t xml:space="preserve">未着手</t>
  </si>
  <si>
    <t xml:space="preserve">2</t>
  </si>
  <si>
    <t xml:space="preserve">件数の保存則（不変条件）で検証</t>
  </si>
  <si>
    <t xml:space="preserve">データを触らずにできる最も確実な検証。ロードごとに件数の整合を確認する。</t>
  </si>
  <si>
    <r>
      <rPr>
        <sz val="10"/>
        <rFont val="Noto Sans CJK SC"/>
        <family val="2"/>
      </rPr>
      <t xml:space="preserve">・ブロンズ対象件数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シルバー投入件数 </t>
    </r>
    <r>
      <rPr>
        <sz val="10"/>
        <rFont val="Arial"/>
        <family val="0"/>
        <charset val="1"/>
      </rPr>
      <t xml:space="preserve">+ rej</t>
    </r>
    <r>
      <rPr>
        <sz val="10"/>
        <rFont val="Noto Sans CJK SC"/>
        <family val="2"/>
      </rPr>
      <t xml:space="preserve">件数（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意図的な除外件数）を確認
・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のキーがシルバーに存在しない（二重計上がない）ことを確認
・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のキーがゴールド／</t>
    </r>
    <r>
      <rPr>
        <sz val="10"/>
        <rFont val="Arial"/>
        <family val="0"/>
        <charset val="1"/>
      </rPr>
      <t xml:space="preserve">Power BI</t>
    </r>
    <r>
      <rPr>
        <sz val="10"/>
        <rFont val="Noto Sans CJK SC"/>
        <family val="2"/>
      </rPr>
      <t xml:space="preserve">帳票に出てこないことを確認</t>
    </r>
  </si>
  <si>
    <t xml:space="preserve">検出／帳票</t>
  </si>
  <si>
    <t xml:space="preserve">意図的な除外（フィルタ条件等）がある場合は件数式に含める必要がある。</t>
  </si>
  <si>
    <t xml:space="preserve">常時（ロードごと）</t>
  </si>
  <si>
    <t xml:space="preserve">3</t>
  </si>
  <si>
    <t xml:space="preserve">疑似エラー生成</t>
  </si>
  <si>
    <t xml:space="preserve">ルール側を変えて疑似エラーを作る</t>
  </si>
  <si>
    <t xml:space="preserve">データではなく判定条件を一時的に厳しくし、本番と同じ形のエラーレコードを作る。</t>
  </si>
  <si>
    <r>
      <rPr>
        <sz val="10"/>
        <rFont val="Noto Sans CJK SC"/>
        <family val="2"/>
      </rPr>
      <t xml:space="preserve">・テスト用</t>
    </r>
    <r>
      <rPr>
        <sz val="10"/>
        <rFont val="Arial"/>
        <family val="0"/>
        <charset val="1"/>
      </rPr>
      <t xml:space="preserve">DAB</t>
    </r>
    <r>
      <rPr>
        <sz val="10"/>
        <rFont val="Noto Sans CJK SC"/>
        <family val="2"/>
      </rPr>
      <t xml:space="preserve">ターゲットで、本番ブロンズを読み取り専用参照・出力先をテスト用スキーマにしたパイプラインをデプロイ
・正常データが意図的に違反になる</t>
    </r>
    <r>
      <rPr>
        <sz val="10"/>
        <rFont val="Arial"/>
        <family val="0"/>
        <charset val="1"/>
      </rPr>
      <t xml:space="preserve">Expectation</t>
    </r>
    <r>
      <rPr>
        <sz val="10"/>
        <rFont val="Noto Sans CJK SC"/>
        <family val="2"/>
      </rPr>
      <t xml:space="preserve">を追加（例：特定取引先コードのみ違反、数量上限を極端に低くする）
・テスト用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を監視する、本番と同定義の</t>
    </r>
    <r>
      <rPr>
        <sz val="10"/>
        <rFont val="Arial"/>
        <family val="0"/>
        <charset val="1"/>
      </rPr>
      <t xml:space="preserve">SQL</t>
    </r>
    <r>
      <rPr>
        <sz val="10"/>
        <rFont val="Noto Sans CJK SC"/>
        <family val="2"/>
      </rPr>
      <t xml:space="preserve">アラートを用意して通知まで確認</t>
    </r>
  </si>
  <si>
    <r>
      <rPr>
        <sz val="10"/>
        <rFont val="Noto Sans CJK SC"/>
        <family val="2"/>
      </rPr>
      <t xml:space="preserve">検出／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の内容／通知／復旧</t>
    </r>
  </si>
  <si>
    <t xml:space="preserve">なし（出力はテスト用スキーマ）</t>
  </si>
  <si>
    <r>
      <rPr>
        <sz val="10"/>
        <rFont val="Noto Sans CJK SC"/>
        <family val="2"/>
      </rPr>
      <t xml:space="preserve">本番のパイプライン・アラートの実体そのものは通らない。定義の同一性は</t>
    </r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上の差分で担保する。</t>
    </r>
  </si>
  <si>
    <t xml:space="preserve">一気通貫テストと並行</t>
  </si>
  <si>
    <t xml:space="preserve">4</t>
  </si>
  <si>
    <t xml:space="preserve">テスト用スキーマにデータ複製し異常値を注入</t>
  </si>
  <si>
    <t xml:space="preserve">ブロンズの一部をテスト用スキーマにコピーし、ルールごとに異常値を入れて網羅的に検証する。</t>
  </si>
  <si>
    <r>
      <rPr>
        <sz val="10"/>
        <rFont val="Noto Sans CJK SC"/>
        <family val="2"/>
      </rPr>
      <t xml:space="preserve">・ブロンズの一部を</t>
    </r>
    <r>
      <rPr>
        <sz val="10"/>
        <rFont val="Arial"/>
        <family val="0"/>
        <charset val="1"/>
      </rPr>
      <t xml:space="preserve">CTAS</t>
    </r>
    <r>
      <rPr>
        <sz val="10"/>
        <rFont val="Noto Sans CJK SC"/>
        <family val="2"/>
      </rPr>
      <t xml:space="preserve">等でテスト用スキーマにコピー
・型不正、必須項目欠落、キー重複など、ルールごとに異常値を注入
・パイプラインを実行し、各ルールの検出・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格納・復旧を確認</t>
    </r>
  </si>
  <si>
    <r>
      <rPr>
        <sz val="10"/>
        <rFont val="Noto Sans CJK SC"/>
        <family val="2"/>
      </rPr>
      <t xml:space="preserve">検出／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の内容／復旧</t>
    </r>
  </si>
  <si>
    <t xml:space="preserve">本番経路そのものではなく、ロジックの検証として位置づける。</t>
  </si>
  <si>
    <t xml:space="preserve">5</t>
  </si>
  <si>
    <t xml:space="preserve">区間切り出し</t>
  </si>
  <si>
    <t xml:space="preserve">通知〜運用連携の区間だけを本番で検証</t>
  </si>
  <si>
    <r>
      <rPr>
        <sz val="10"/>
        <rFont val="Noto Sans CJK SC"/>
        <family val="2"/>
      </rPr>
      <t xml:space="preserve">本番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にテストマーカー付きのダミーレコードを入れ、本番</t>
    </r>
    <r>
      <rPr>
        <sz val="10"/>
        <rFont val="Arial"/>
        <family val="0"/>
        <charset val="1"/>
      </rPr>
      <t xml:space="preserve">SQL</t>
    </r>
    <r>
      <rPr>
        <sz val="10"/>
        <rFont val="Noto Sans CJK SC"/>
        <family val="2"/>
      </rPr>
      <t xml:space="preserve">アラートの発火とメール到達を確認する。</t>
    </r>
  </si>
  <si>
    <r>
      <rPr>
        <sz val="10"/>
        <rFont val="Noto Sans CJK SC"/>
        <family val="2"/>
      </rPr>
      <t xml:space="preserve">・キーを </t>
    </r>
    <r>
      <rPr>
        <sz val="10"/>
        <rFont val="Arial"/>
        <family val="0"/>
        <charset val="1"/>
      </rPr>
      <t xml:space="preserve">TEST_ </t>
    </r>
    <r>
      <rPr>
        <sz val="10"/>
        <rFont val="Noto Sans CJK SC"/>
        <family val="2"/>
      </rPr>
      <t xml:space="preserve">で始める等、明示的なマーカー付きダミーレコードを本番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件投入
・本番</t>
    </r>
    <r>
      <rPr>
        <sz val="10"/>
        <rFont val="Arial"/>
        <family val="0"/>
        <charset val="1"/>
      </rPr>
      <t xml:space="preserve">SQL</t>
    </r>
    <r>
      <rPr>
        <sz val="10"/>
        <rFont val="Noto Sans CJK SC"/>
        <family val="2"/>
      </rPr>
      <t xml:space="preserve">アラートの発火、メール到達、本文を確認
・確認後にダミーレコードを削除</t>
    </r>
  </si>
  <si>
    <t xml:space="preserve">通知／連携</t>
  </si>
  <si>
    <r>
      <rPr>
        <sz val="10"/>
        <rFont val="Noto Sans CJK SC"/>
        <family val="2"/>
      </rPr>
      <t xml:space="preserve">あり（本番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への書き込み）</t>
    </r>
  </si>
  <si>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がパイプライン管理テーブルの場合、直接</t>
    </r>
    <r>
      <rPr>
        <sz val="10"/>
        <rFont val="Arial"/>
        <family val="0"/>
        <charset val="1"/>
      </rPr>
      <t xml:space="preserve">INSERT</t>
    </r>
    <r>
      <rPr>
        <sz val="10"/>
        <rFont val="Noto Sans CJK SC"/>
        <family val="2"/>
      </rPr>
      <t xml:space="preserve">できない・フルリフレッシュで消える等の制約がありうる。実施可否と後片付け手順を事前確認。抵抗がある場合は案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のテスト用アラートで代替。</t>
    </r>
  </si>
  <si>
    <t xml:space="preserve">関係者合意後</t>
  </si>
  <si>
    <t xml:space="preserve">6</t>
  </si>
  <si>
    <t xml:space="preserve">運用</t>
  </si>
  <si>
    <t xml:space="preserve">運用リハーサル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</si>
  <si>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で出たエラーを使い、実際の運用フローを回す。</t>
    </r>
  </si>
  <si>
    <r>
      <rPr>
        <sz val="10"/>
        <rFont val="Noto Sans CJK SC"/>
        <family val="2"/>
      </rPr>
      <t xml:space="preserve">・通知受信 → 保守チームが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を確認 → </t>
    </r>
    <r>
      <rPr>
        <sz val="10"/>
        <rFont val="Arial"/>
        <family val="0"/>
        <charset val="1"/>
      </rPr>
      <t xml:space="preserve">Power BI</t>
    </r>
    <r>
      <rPr>
        <sz val="10"/>
        <rFont val="Noto Sans CJK SC"/>
        <family val="2"/>
      </rPr>
      <t xml:space="preserve">運用チームへ連携 → エンドユーザーへ連携
・受け渡し情報の過不足と各ステップの所要時間を記録</t>
    </r>
  </si>
  <si>
    <t xml:space="preserve">連携／帳票</t>
  </si>
  <si>
    <t xml:space="preserve">なし</t>
  </si>
  <si>
    <t xml:space="preserve">システムの正しさより、運用で受け渡す情報が足りているかを見る。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</si>
  <si>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でエラー発生後</t>
    </r>
  </si>
  <si>
    <t xml:space="preserve">進め方の目安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</si>
  <si>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（常時）＋案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（発生すれば）で本番経路を確認し、案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・案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でルール網羅と復旧を、案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・案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で通知と運用を確認する。</t>
    </r>
  </si>
  <si>
    <r>
      <rPr>
        <b val="true"/>
        <sz val="13"/>
        <rFont val="Noto Sans CJK SC"/>
        <family val="2"/>
      </rPr>
      <t xml:space="preserve">テスト案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検証区間 のカバレッジ（○：主に検証できる　△：一部・条件付き）</t>
    </r>
  </si>
  <si>
    <t xml:space="preserve">検出</t>
  </si>
  <si>
    <r>
      <rPr>
        <b val="true"/>
        <sz val="11"/>
        <color rgb="FFFFFFFF"/>
        <rFont val="Arial"/>
        <family val="0"/>
        <charset val="1"/>
      </rPr>
      <t xml:space="preserve">rej</t>
    </r>
    <r>
      <rPr>
        <b val="true"/>
        <sz val="11"/>
        <color rgb="FFFFFFFF"/>
        <rFont val="Noto Sans CJK SC"/>
        <family val="2"/>
      </rPr>
      <t xml:space="preserve">の内容</t>
    </r>
  </si>
  <si>
    <t xml:space="preserve">通知</t>
  </si>
  <si>
    <t xml:space="preserve">連携</t>
  </si>
  <si>
    <t xml:space="preserve">帳票</t>
  </si>
  <si>
    <t xml:space="preserve">復旧</t>
  </si>
  <si>
    <t xml:space="preserve">本番経路そのものを通るか</t>
  </si>
  <si>
    <t xml:space="preserve">○</t>
  </si>
  <si>
    <t xml:space="preserve">△</t>
  </si>
  <si>
    <t xml:space="preserve">件数の保存則で検証</t>
  </si>
  <si>
    <t xml:space="preserve">ルール側を変えて疑似エラー</t>
  </si>
  <si>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（テスト用）</t>
    </r>
  </si>
  <si>
    <t xml:space="preserve">データ複製＋異常値注入</t>
  </si>
  <si>
    <t xml:space="preserve">通知〜連携の区間を本番で検証</t>
  </si>
  <si>
    <t xml:space="preserve">○（一部）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</si>
  <si>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に依存</t>
    </r>
  </si>
  <si>
    <t xml:space="preserve">○の数</t>
  </si>
  <si>
    <r>
      <rPr>
        <sz val="9"/>
        <color rgb="FF595959"/>
        <rFont val="Noto Sans CJK SC"/>
        <family val="2"/>
      </rPr>
      <t xml:space="preserve">※ △は、テスト期間中に実エラーが発生した場合のみ検証できることを示す（案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）、または案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の結果次第（案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）。</t>
    </r>
  </si>
  <si>
    <t xml:space="preserve">区間ごとの確認観点チェックリスト</t>
  </si>
  <si>
    <r>
      <rPr>
        <sz val="10"/>
        <color rgb="FF595959"/>
        <rFont val="Noto Sans CJK SC"/>
        <family val="2"/>
      </rPr>
      <t xml:space="preserve">黄色の列は記入欄。結果は </t>
    </r>
    <r>
      <rPr>
        <sz val="10"/>
        <color rgb="FF595959"/>
        <rFont val="Arial"/>
        <family val="0"/>
        <charset val="1"/>
      </rPr>
      <t xml:space="preserve">OK / NG / </t>
    </r>
    <r>
      <rPr>
        <sz val="10"/>
        <color rgb="FF595959"/>
        <rFont val="Noto Sans CJK SC"/>
        <family val="2"/>
      </rPr>
      <t xml:space="preserve">未実施 </t>
    </r>
    <r>
      <rPr>
        <sz val="10"/>
        <color rgb="FF595959"/>
        <rFont val="Arial"/>
        <family val="0"/>
        <charset val="1"/>
      </rPr>
      <t xml:space="preserve">/ </t>
    </r>
    <r>
      <rPr>
        <sz val="10"/>
        <color rgb="FF595959"/>
        <rFont val="Noto Sans CJK SC"/>
        <family val="2"/>
      </rPr>
      <t xml:space="preserve">対象外 から選択。</t>
    </r>
  </si>
  <si>
    <t xml:space="preserve">区間</t>
  </si>
  <si>
    <t xml:space="preserve">確認観点</t>
  </si>
  <si>
    <t xml:space="preserve">対応する案</t>
  </si>
  <si>
    <t xml:space="preserve">結果</t>
  </si>
  <si>
    <t xml:space="preserve">実施日</t>
  </si>
  <si>
    <t xml:space="preserve">確認者</t>
  </si>
  <si>
    <t xml:space="preserve">集計</t>
  </si>
  <si>
    <r>
      <rPr>
        <sz val="10"/>
        <rFont val="Noto Sans CJK SC"/>
        <family val="2"/>
      </rPr>
      <t xml:space="preserve">予測どおりのレコードが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に入るか</t>
    </r>
  </si>
  <si>
    <t xml:space="preserve">1,3,4</t>
  </si>
  <si>
    <t xml:space="preserve">未実施</t>
  </si>
  <si>
    <t xml:space="preserve">OK</t>
  </si>
  <si>
    <r>
      <rPr>
        <sz val="10"/>
        <rFont val="Noto Sans CJK SC"/>
        <family val="2"/>
      </rPr>
      <t xml:space="preserve">件数保存則（ブロンズ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シルバー </t>
    </r>
    <r>
      <rPr>
        <sz val="10"/>
        <rFont val="Arial"/>
        <family val="0"/>
        <charset val="1"/>
      </rPr>
      <t xml:space="preserve">+ rej + </t>
    </r>
    <r>
      <rPr>
        <sz val="10"/>
        <rFont val="Noto Sans CJK SC"/>
        <family val="2"/>
      </rPr>
      <t xml:space="preserve">意図的除外）が成り立つか</t>
    </r>
  </si>
  <si>
    <t xml:space="preserve">NG</t>
  </si>
  <si>
    <t xml:space="preserve">再実行で重複しないか（冪等性）</t>
  </si>
  <si>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の内容</t>
    </r>
  </si>
  <si>
    <t xml:space="preserve">元キーが格納されているか</t>
  </si>
  <si>
    <t xml:space="preserve">対象外</t>
  </si>
  <si>
    <t xml:space="preserve">違反したルール名が格納されているか</t>
  </si>
  <si>
    <t xml:space="preserve">合計</t>
  </si>
  <si>
    <t xml:space="preserve">元の値（違反値）が格納されているか</t>
  </si>
  <si>
    <t xml:space="preserve">消化率</t>
  </si>
  <si>
    <r>
      <rPr>
        <sz val="10"/>
        <rFont val="Noto Sans CJK SC"/>
        <family val="2"/>
      </rPr>
      <t xml:space="preserve">ロード日時・実行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など、発生経緯を追える項目があるか</t>
    </r>
  </si>
  <si>
    <r>
      <rPr>
        <sz val="9"/>
        <color rgb="FF595959"/>
        <rFont val="Noto Sans CJK SC"/>
        <family val="2"/>
      </rPr>
      <t xml:space="preserve">※消化率 </t>
    </r>
    <r>
      <rPr>
        <sz val="9"/>
        <color rgb="FF595959"/>
        <rFont val="Arial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OK+NG+</t>
    </r>
    <r>
      <rPr>
        <sz val="9"/>
        <color rgb="FF595959"/>
        <rFont val="Noto Sans CJK SC"/>
        <family val="2"/>
      </rPr>
      <t xml:space="preserve">対象外）／合計</t>
    </r>
  </si>
  <si>
    <t xml:space="preserve">パイプライン実行後、想定タイミングで発火するか</t>
  </si>
  <si>
    <t xml:space="preserve">3,5</t>
  </si>
  <si>
    <t xml:space="preserve">宛先が正しいか</t>
  </si>
  <si>
    <t xml:space="preserve">本文に原因特定に必要な情報（件数、対象テーブル等）があるか</t>
  </si>
  <si>
    <r>
      <rPr>
        <sz val="10"/>
        <rFont val="Noto Sans CJK SC"/>
        <family val="2"/>
      </rPr>
      <t xml:space="preserve">エラー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件時に通知されないか</t>
    </r>
  </si>
  <si>
    <t xml:space="preserve">2,3</t>
  </si>
  <si>
    <t xml:space="preserve">トリガー状態が続く場合の再通知の挙動が想定どおりか（アラート設定次第）</t>
  </si>
  <si>
    <r>
      <rPr>
        <sz val="10"/>
        <rFont val="Noto Sans CJK SC"/>
        <family val="2"/>
      </rPr>
      <t xml:space="preserve">パイプライン自体の失敗時に、エラー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件と区別できるか</t>
    </r>
  </si>
  <si>
    <r>
      <rPr>
        <sz val="10"/>
        <rFont val="Noto Sans CJK SC"/>
        <family val="2"/>
      </rPr>
      <t xml:space="preserve">保守チーム→</t>
    </r>
    <r>
      <rPr>
        <sz val="10"/>
        <rFont val="Arial"/>
        <family val="0"/>
        <charset val="1"/>
      </rPr>
      <t xml:space="preserve">Power BI</t>
    </r>
    <r>
      <rPr>
        <sz val="10"/>
        <rFont val="Noto Sans CJK SC"/>
        <family val="2"/>
      </rPr>
      <t xml:space="preserve">運用チームへ渡すフォーマットが決まっているか</t>
    </r>
  </si>
  <si>
    <t xml:space="preserve">5,6</t>
  </si>
  <si>
    <r>
      <rPr>
        <sz val="10"/>
        <rFont val="Arial"/>
        <family val="0"/>
        <charset val="1"/>
      </rPr>
      <t xml:space="preserve">Power BI</t>
    </r>
    <r>
      <rPr>
        <sz val="10"/>
        <rFont val="Noto Sans CJK SC"/>
        <family val="2"/>
      </rPr>
      <t xml:space="preserve">側で弾かれたデータを参照する手段があるか（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を見るレポートページ等）</t>
    </r>
  </si>
  <si>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のキーがゴールド／帳票に出てこないか</t>
    </r>
  </si>
  <si>
    <t xml:space="preserve">除外データがあることをエンドユーザーが帳票上で気づけるか</t>
  </si>
  <si>
    <t xml:space="preserve">ソース修正後、次回ロードでシルバーに入るか</t>
  </si>
  <si>
    <t xml:space="preserve">3,4</t>
  </si>
  <si>
    <r>
      <rPr>
        <sz val="10"/>
        <rFont val="Noto Sans CJK SC"/>
        <family val="2"/>
      </rPr>
      <t xml:space="preserve">処理済み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レコードの扱い（残り続けて再通知されないか）</t>
    </r>
  </si>
  <si>
    <t xml:space="preserve">本番接続下でテストする際の注意事項</t>
  </si>
  <si>
    <t xml:space="preserve">注意事項</t>
  </si>
  <si>
    <t xml:space="preserve">対応策の例</t>
  </si>
  <si>
    <t xml:space="preserve">対応状況</t>
  </si>
  <si>
    <t xml:space="preserve">テスト通知メールが実エラーと誤認される</t>
  </si>
  <si>
    <t xml:space="preserve">件名で識別できるようにする／宛先をテスト用に絞る</t>
  </si>
  <si>
    <t xml:space="preserve">未対応</t>
  </si>
  <si>
    <r>
      <rPr>
        <sz val="10"/>
        <rFont val="Noto Sans CJK SC"/>
        <family val="2"/>
      </rPr>
      <t xml:space="preserve">本番</t>
    </r>
    <r>
      <rPr>
        <sz val="10"/>
        <rFont val="Arial"/>
        <family val="0"/>
        <charset val="1"/>
      </rPr>
      <t xml:space="preserve">rej</t>
    </r>
    <r>
      <rPr>
        <sz val="10"/>
        <rFont val="Noto Sans CJK SC"/>
        <family val="2"/>
      </rPr>
      <t xml:space="preserve">への書き込み（案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）</t>
    </r>
  </si>
  <si>
    <t xml:space="preserve">事前に関係者の合意を取り、削除手順を用意する</t>
  </si>
  <si>
    <t xml:space="preserve">テスト期間中に実エラーが発生した場合の扱いが曖昧</t>
  </si>
  <si>
    <t xml:space="preserve">テストとして扱うか本番運用として扱うかを事前に決めておく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</si>
</sst>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/mm/dd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3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2E7D32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5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2.8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58.2" hidden="false" customHeight="false" outlineLevel="0" collapsed="false">
      <c r="A5" s="5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7"/>
      <c r="K5" s="8" t="s">
        <v>23</v>
      </c>
      <c r="L5" s="7"/>
    </row>
    <row r="6" customFormat="false" ht="72.35" hidden="false" customHeight="false" outlineLevel="0" collapsed="false">
      <c r="A6" s="5" t="s">
        <v>24</v>
      </c>
      <c r="B6" s="6" t="s">
        <v>15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20</v>
      </c>
      <c r="H6" s="6" t="s">
        <v>29</v>
      </c>
      <c r="I6" s="6" t="s">
        <v>30</v>
      </c>
      <c r="J6" s="7"/>
      <c r="K6" s="8" t="s">
        <v>23</v>
      </c>
      <c r="L6" s="7"/>
    </row>
    <row r="7" customFormat="false" ht="86.55" hidden="false" customHeight="false" outlineLevel="0" collapsed="false">
      <c r="A7" s="5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  <c r="I7" s="6" t="s">
        <v>39</v>
      </c>
      <c r="J7" s="7"/>
      <c r="K7" s="8" t="s">
        <v>23</v>
      </c>
      <c r="L7" s="7"/>
    </row>
    <row r="8" customFormat="false" ht="72.35" hidden="false" customHeight="false" outlineLevel="0" collapsed="false">
      <c r="A8" s="5" t="s">
        <v>40</v>
      </c>
      <c r="B8" s="6" t="s">
        <v>32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37</v>
      </c>
      <c r="H8" s="6" t="s">
        <v>45</v>
      </c>
      <c r="I8" s="6" t="s">
        <v>39</v>
      </c>
      <c r="J8" s="7"/>
      <c r="K8" s="8" t="s">
        <v>23</v>
      </c>
      <c r="L8" s="7"/>
    </row>
    <row r="9" customFormat="false" ht="72.35" hidden="false" customHeight="false" outlineLevel="0" collapsed="false">
      <c r="A9" s="5" t="s">
        <v>46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  <c r="H9" s="9" t="s">
        <v>53</v>
      </c>
      <c r="I9" s="6" t="s">
        <v>54</v>
      </c>
      <c r="J9" s="7"/>
      <c r="K9" s="8" t="s">
        <v>23</v>
      </c>
      <c r="L9" s="7"/>
    </row>
    <row r="10" customFormat="false" ht="44" hidden="false" customHeight="false" outlineLevel="0" collapsed="false">
      <c r="A10" s="5" t="s">
        <v>55</v>
      </c>
      <c r="B10" s="6" t="s">
        <v>56</v>
      </c>
      <c r="C10" s="6" t="s">
        <v>57</v>
      </c>
      <c r="D10" s="6" t="s">
        <v>58</v>
      </c>
      <c r="E10" s="6" t="s">
        <v>59</v>
      </c>
      <c r="F10" s="6" t="s">
        <v>60</v>
      </c>
      <c r="G10" s="6" t="s">
        <v>61</v>
      </c>
      <c r="H10" s="6" t="s">
        <v>62</v>
      </c>
      <c r="I10" s="6" t="s">
        <v>63</v>
      </c>
      <c r="J10" s="7"/>
      <c r="K10" s="8" t="s">
        <v>23</v>
      </c>
      <c r="L10" s="7"/>
    </row>
    <row r="12" customFormat="false" ht="15" hidden="false" customHeight="false" outlineLevel="0" collapsed="false">
      <c r="A12" s="10" t="s">
        <v>64</v>
      </c>
    </row>
    <row r="13" customFormat="false" ht="15" hidden="false" customHeight="false" outlineLevel="0" collapsed="false">
      <c r="A13" s="11" t="s">
        <v>65</v>
      </c>
    </row>
  </sheetData>
  <dataValidations count="1">
    <dataValidation allowBlank="true" errorStyle="stop" operator="between" showDropDown="false" showErrorMessage="false" showInputMessage="false" sqref="K5:K10" type="list">
      <formula1>"未着手,実施中,完了,対象外"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8" min="5" style="0" width="10"/>
    <col collapsed="false" customWidth="true" hidden="false" outlineLevel="0" max="9" min="9" style="0" width="20"/>
  </cols>
  <sheetData>
    <row r="1" customFormat="false" ht="20.1" hidden="false" customHeight="false" outlineLevel="0" collapsed="false">
      <c r="A1" s="1" t="s">
        <v>66</v>
      </c>
    </row>
    <row r="3" customFormat="false" ht="32.8" hidden="false" customHeight="false" outlineLevel="0" collapsed="false">
      <c r="A3" s="3" t="s">
        <v>2</v>
      </c>
      <c r="B3" s="4" t="s">
        <v>4</v>
      </c>
      <c r="C3" s="4" t="s">
        <v>67</v>
      </c>
      <c r="D3" s="3" t="s">
        <v>68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</row>
    <row r="4" customFormat="false" ht="15" hidden="false" customHeight="false" outlineLevel="0" collapsed="false">
      <c r="A4" s="5" t="s">
        <v>14</v>
      </c>
      <c r="B4" s="6" t="s">
        <v>16</v>
      </c>
      <c r="C4" s="5" t="s">
        <v>74</v>
      </c>
      <c r="D4" s="5" t="s">
        <v>74</v>
      </c>
      <c r="E4" s="5" t="s">
        <v>75</v>
      </c>
      <c r="F4" s="5" t="s">
        <v>75</v>
      </c>
      <c r="G4" s="5" t="s">
        <v>75</v>
      </c>
      <c r="H4" s="5" t="s">
        <v>75</v>
      </c>
      <c r="I4" s="5" t="s">
        <v>74</v>
      </c>
    </row>
    <row r="5" customFormat="false" ht="15" hidden="false" customHeight="false" outlineLevel="0" collapsed="false">
      <c r="A5" s="5" t="s">
        <v>24</v>
      </c>
      <c r="B5" s="6" t="s">
        <v>76</v>
      </c>
      <c r="C5" s="5" t="s">
        <v>74</v>
      </c>
      <c r="D5" s="5"/>
      <c r="E5" s="5"/>
      <c r="F5" s="5"/>
      <c r="G5" s="5" t="s">
        <v>74</v>
      </c>
      <c r="H5" s="5"/>
      <c r="I5" s="5" t="s">
        <v>74</v>
      </c>
    </row>
    <row r="6" customFormat="false" ht="15" hidden="false" customHeight="false" outlineLevel="0" collapsed="false">
      <c r="A6" s="5" t="s">
        <v>31</v>
      </c>
      <c r="B6" s="6" t="s">
        <v>77</v>
      </c>
      <c r="C6" s="5" t="s">
        <v>74</v>
      </c>
      <c r="D6" s="5" t="s">
        <v>74</v>
      </c>
      <c r="E6" s="5" t="s">
        <v>74</v>
      </c>
      <c r="F6" s="5"/>
      <c r="G6" s="5"/>
      <c r="H6" s="5" t="s">
        <v>74</v>
      </c>
      <c r="I6" s="5" t="s">
        <v>78</v>
      </c>
    </row>
    <row r="7" customFormat="false" ht="15" hidden="false" customHeight="false" outlineLevel="0" collapsed="false">
      <c r="A7" s="5" t="s">
        <v>40</v>
      </c>
      <c r="B7" s="6" t="s">
        <v>79</v>
      </c>
      <c r="C7" s="5" t="s">
        <v>74</v>
      </c>
      <c r="D7" s="5" t="s">
        <v>74</v>
      </c>
      <c r="E7" s="5"/>
      <c r="F7" s="5"/>
      <c r="G7" s="5"/>
      <c r="H7" s="5" t="s">
        <v>74</v>
      </c>
      <c r="I7" s="5" t="s">
        <v>78</v>
      </c>
    </row>
    <row r="8" customFormat="false" ht="15" hidden="false" customHeight="false" outlineLevel="0" collapsed="false">
      <c r="A8" s="5" t="s">
        <v>46</v>
      </c>
      <c r="B8" s="6" t="s">
        <v>80</v>
      </c>
      <c r="C8" s="5"/>
      <c r="D8" s="5"/>
      <c r="E8" s="5" t="s">
        <v>74</v>
      </c>
      <c r="F8" s="5" t="s">
        <v>74</v>
      </c>
      <c r="G8" s="5"/>
      <c r="H8" s="5"/>
      <c r="I8" s="12" t="s">
        <v>81</v>
      </c>
    </row>
    <row r="9" customFormat="false" ht="15" hidden="false" customHeight="false" outlineLevel="0" collapsed="false">
      <c r="A9" s="5" t="s">
        <v>55</v>
      </c>
      <c r="B9" s="6" t="s">
        <v>57</v>
      </c>
      <c r="C9" s="5"/>
      <c r="D9" s="5"/>
      <c r="E9" s="5"/>
      <c r="F9" s="5" t="s">
        <v>74</v>
      </c>
      <c r="G9" s="5" t="s">
        <v>74</v>
      </c>
      <c r="H9" s="5" t="s">
        <v>75</v>
      </c>
      <c r="I9" s="12" t="s">
        <v>82</v>
      </c>
    </row>
    <row r="10" customFormat="false" ht="15" hidden="false" customHeight="false" outlineLevel="0" collapsed="false">
      <c r="B10" s="13" t="s">
        <v>83</v>
      </c>
      <c r="C10" s="14" t="n">
        <f aca="false">COUNTIF(C4:C9,"○")</f>
        <v>4</v>
      </c>
      <c r="D10" s="14" t="n">
        <f aca="false">COUNTIF(D4:D9,"○")</f>
        <v>3</v>
      </c>
      <c r="E10" s="14" t="n">
        <f aca="false">COUNTIF(E4:E9,"○")</f>
        <v>2</v>
      </c>
      <c r="F10" s="14" t="n">
        <f aca="false">COUNTIF(F4:F9,"○")</f>
        <v>2</v>
      </c>
      <c r="G10" s="14" t="n">
        <f aca="false">COUNTIF(G4:G9,"○")</f>
        <v>2</v>
      </c>
      <c r="H10" s="14" t="n">
        <f aca="false">COUNTIF(H4:H9,"○")</f>
        <v>2</v>
      </c>
    </row>
    <row r="11" customFormat="false" ht="15" hidden="false" customHeight="false" outlineLevel="0" collapsed="false">
      <c r="B11" s="1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11" min="10" style="0" width="10"/>
  </cols>
  <sheetData>
    <row r="1" customFormat="false" ht="16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7.15" hidden="false" customHeight="false" outlineLevel="0" collapsed="false">
      <c r="A4" s="3" t="s">
        <v>2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13</v>
      </c>
      <c r="J4" s="10" t="s">
        <v>93</v>
      </c>
    </row>
    <row r="5" customFormat="false" ht="15" hidden="false" customHeight="false" outlineLevel="0" collapsed="false">
      <c r="A5" s="5" t="n">
        <v>1</v>
      </c>
      <c r="B5" s="12" t="s">
        <v>67</v>
      </c>
      <c r="C5" s="6" t="s">
        <v>94</v>
      </c>
      <c r="D5" s="5" t="s">
        <v>95</v>
      </c>
      <c r="E5" s="8" t="s">
        <v>96</v>
      </c>
      <c r="F5" s="16"/>
      <c r="G5" s="7"/>
      <c r="H5" s="7"/>
      <c r="J5" s="5" t="s">
        <v>97</v>
      </c>
      <c r="K5" s="5" t="n">
        <f aca="false">COUNTIF($E$5:$E$23,J5)</f>
        <v>0</v>
      </c>
    </row>
    <row r="6" customFormat="false" ht="15" hidden="false" customHeight="false" outlineLevel="0" collapsed="false">
      <c r="A6" s="5" t="n">
        <v>2</v>
      </c>
      <c r="B6" s="12" t="s">
        <v>67</v>
      </c>
      <c r="C6" s="6" t="s">
        <v>98</v>
      </c>
      <c r="D6" s="5" t="s">
        <v>24</v>
      </c>
      <c r="E6" s="8" t="s">
        <v>96</v>
      </c>
      <c r="F6" s="16"/>
      <c r="G6" s="7"/>
      <c r="H6" s="7"/>
      <c r="J6" s="5" t="s">
        <v>99</v>
      </c>
      <c r="K6" s="5" t="n">
        <f aca="false">COUNTIF($E$5:$E$23,J6)</f>
        <v>0</v>
      </c>
    </row>
    <row r="7" customFormat="false" ht="15" hidden="false" customHeight="false" outlineLevel="0" collapsed="false">
      <c r="A7" s="5" t="n">
        <v>3</v>
      </c>
      <c r="B7" s="12" t="s">
        <v>67</v>
      </c>
      <c r="C7" s="6" t="s">
        <v>100</v>
      </c>
      <c r="D7" s="5" t="s">
        <v>95</v>
      </c>
      <c r="E7" s="8" t="s">
        <v>96</v>
      </c>
      <c r="F7" s="16"/>
      <c r="G7" s="7"/>
      <c r="H7" s="7"/>
      <c r="J7" s="12" t="s">
        <v>96</v>
      </c>
      <c r="K7" s="5" t="n">
        <f aca="false">COUNTIF($E$5:$E$23,J7)</f>
        <v>19</v>
      </c>
    </row>
    <row r="8" customFormat="false" ht="15" hidden="false" customHeight="false" outlineLevel="0" collapsed="false">
      <c r="A8" s="5" t="n">
        <v>4</v>
      </c>
      <c r="B8" s="5" t="s">
        <v>101</v>
      </c>
      <c r="C8" s="6" t="s">
        <v>102</v>
      </c>
      <c r="D8" s="5" t="s">
        <v>95</v>
      </c>
      <c r="E8" s="8" t="s">
        <v>96</v>
      </c>
      <c r="F8" s="16"/>
      <c r="G8" s="7"/>
      <c r="H8" s="7"/>
      <c r="J8" s="12" t="s">
        <v>103</v>
      </c>
      <c r="K8" s="5" t="n">
        <f aca="false">COUNTIF($E$5:$E$23,J8)</f>
        <v>0</v>
      </c>
    </row>
    <row r="9" customFormat="false" ht="15" hidden="false" customHeight="false" outlineLevel="0" collapsed="false">
      <c r="A9" s="5" t="n">
        <v>5</v>
      </c>
      <c r="B9" s="5" t="s">
        <v>101</v>
      </c>
      <c r="C9" s="6" t="s">
        <v>104</v>
      </c>
      <c r="D9" s="5" t="s">
        <v>95</v>
      </c>
      <c r="E9" s="8" t="s">
        <v>96</v>
      </c>
      <c r="F9" s="16"/>
      <c r="G9" s="7"/>
      <c r="H9" s="7"/>
      <c r="J9" s="12" t="s">
        <v>105</v>
      </c>
      <c r="K9" s="5" t="n">
        <f aca="false">COUNTA($C$5:$C$23)</f>
        <v>19</v>
      </c>
    </row>
    <row r="10" customFormat="false" ht="15" hidden="false" customHeight="false" outlineLevel="0" collapsed="false">
      <c r="A10" s="5" t="n">
        <v>6</v>
      </c>
      <c r="B10" s="5" t="s">
        <v>101</v>
      </c>
      <c r="C10" s="6" t="s">
        <v>106</v>
      </c>
      <c r="D10" s="5" t="s">
        <v>95</v>
      </c>
      <c r="E10" s="8" t="s">
        <v>96</v>
      </c>
      <c r="F10" s="16"/>
      <c r="G10" s="7"/>
      <c r="H10" s="7"/>
      <c r="J10" s="12" t="s">
        <v>107</v>
      </c>
      <c r="K10" s="17" t="n">
        <f aca="false">IF(K9=0,0,(K5+K6+K8)/K9)</f>
        <v>0</v>
      </c>
    </row>
    <row r="11" customFormat="false" ht="15" hidden="false" customHeight="false" outlineLevel="0" collapsed="false">
      <c r="A11" s="5" t="n">
        <v>7</v>
      </c>
      <c r="B11" s="5" t="s">
        <v>101</v>
      </c>
      <c r="C11" s="6" t="s">
        <v>108</v>
      </c>
      <c r="D11" s="5" t="s">
        <v>95</v>
      </c>
      <c r="E11" s="8" t="s">
        <v>96</v>
      </c>
      <c r="F11" s="16"/>
      <c r="G11" s="7"/>
      <c r="H11" s="7"/>
      <c r="J11" s="15" t="s">
        <v>109</v>
      </c>
    </row>
    <row r="12" customFormat="false" ht="15" hidden="false" customHeight="false" outlineLevel="0" collapsed="false">
      <c r="A12" s="5" t="n">
        <v>8</v>
      </c>
      <c r="B12" s="12" t="s">
        <v>69</v>
      </c>
      <c r="C12" s="6" t="s">
        <v>110</v>
      </c>
      <c r="D12" s="5" t="s">
        <v>111</v>
      </c>
      <c r="E12" s="8" t="s">
        <v>96</v>
      </c>
      <c r="F12" s="16"/>
      <c r="G12" s="7"/>
      <c r="H12" s="7"/>
    </row>
    <row r="13" customFormat="false" ht="15" hidden="false" customHeight="false" outlineLevel="0" collapsed="false">
      <c r="A13" s="5" t="n">
        <v>9</v>
      </c>
      <c r="B13" s="12" t="s">
        <v>69</v>
      </c>
      <c r="C13" s="6" t="s">
        <v>112</v>
      </c>
      <c r="D13" s="5" t="s">
        <v>111</v>
      </c>
      <c r="E13" s="8" t="s">
        <v>96</v>
      </c>
      <c r="F13" s="16"/>
      <c r="G13" s="7"/>
      <c r="H13" s="7"/>
    </row>
    <row r="14" customFormat="false" ht="15" hidden="false" customHeight="false" outlineLevel="0" collapsed="false">
      <c r="A14" s="5" t="n">
        <v>10</v>
      </c>
      <c r="B14" s="12" t="s">
        <v>69</v>
      </c>
      <c r="C14" s="6" t="s">
        <v>113</v>
      </c>
      <c r="D14" s="5" t="s">
        <v>111</v>
      </c>
      <c r="E14" s="8" t="s">
        <v>96</v>
      </c>
      <c r="F14" s="16"/>
      <c r="G14" s="7"/>
      <c r="H14" s="7"/>
    </row>
    <row r="15" customFormat="false" ht="15" hidden="false" customHeight="false" outlineLevel="0" collapsed="false">
      <c r="A15" s="5" t="n">
        <v>11</v>
      </c>
      <c r="B15" s="12" t="s">
        <v>69</v>
      </c>
      <c r="C15" s="6" t="s">
        <v>114</v>
      </c>
      <c r="D15" s="5" t="s">
        <v>115</v>
      </c>
      <c r="E15" s="8" t="s">
        <v>96</v>
      </c>
      <c r="F15" s="16"/>
      <c r="G15" s="7"/>
      <c r="H15" s="7"/>
    </row>
    <row r="16" customFormat="false" ht="29.85" hidden="false" customHeight="false" outlineLevel="0" collapsed="false">
      <c r="A16" s="5" t="n">
        <v>12</v>
      </c>
      <c r="B16" s="12" t="s">
        <v>69</v>
      </c>
      <c r="C16" s="6" t="s">
        <v>116</v>
      </c>
      <c r="D16" s="5" t="s">
        <v>111</v>
      </c>
      <c r="E16" s="8" t="s">
        <v>96</v>
      </c>
      <c r="F16" s="16"/>
      <c r="G16" s="7"/>
      <c r="H16" s="7"/>
    </row>
    <row r="17" customFormat="false" ht="15" hidden="false" customHeight="false" outlineLevel="0" collapsed="false">
      <c r="A17" s="5" t="n">
        <v>13</v>
      </c>
      <c r="B17" s="12" t="s">
        <v>69</v>
      </c>
      <c r="C17" s="6" t="s">
        <v>117</v>
      </c>
      <c r="D17" s="5" t="s">
        <v>31</v>
      </c>
      <c r="E17" s="8" t="s">
        <v>96</v>
      </c>
      <c r="F17" s="16"/>
      <c r="G17" s="7"/>
      <c r="H17" s="7"/>
    </row>
    <row r="18" customFormat="false" ht="15" hidden="false" customHeight="false" outlineLevel="0" collapsed="false">
      <c r="A18" s="5" t="n">
        <v>14</v>
      </c>
      <c r="B18" s="12" t="s">
        <v>70</v>
      </c>
      <c r="C18" s="6" t="s">
        <v>118</v>
      </c>
      <c r="D18" s="5" t="s">
        <v>119</v>
      </c>
      <c r="E18" s="8" t="s">
        <v>96</v>
      </c>
      <c r="F18" s="16"/>
      <c r="G18" s="7"/>
      <c r="H18" s="7"/>
    </row>
    <row r="19" customFormat="false" ht="29.85" hidden="false" customHeight="false" outlineLevel="0" collapsed="false">
      <c r="A19" s="5" t="n">
        <v>15</v>
      </c>
      <c r="B19" s="12" t="s">
        <v>70</v>
      </c>
      <c r="C19" s="9" t="s">
        <v>120</v>
      </c>
      <c r="D19" s="5" t="s">
        <v>119</v>
      </c>
      <c r="E19" s="8" t="s">
        <v>96</v>
      </c>
      <c r="F19" s="16"/>
      <c r="G19" s="7"/>
      <c r="H19" s="7"/>
    </row>
    <row r="20" customFormat="false" ht="15" hidden="false" customHeight="false" outlineLevel="0" collapsed="false">
      <c r="A20" s="5" t="n">
        <v>16</v>
      </c>
      <c r="B20" s="12" t="s">
        <v>71</v>
      </c>
      <c r="C20" s="9" t="s">
        <v>121</v>
      </c>
      <c r="D20" s="5" t="s">
        <v>24</v>
      </c>
      <c r="E20" s="8" t="s">
        <v>96</v>
      </c>
      <c r="F20" s="16"/>
      <c r="G20" s="7"/>
      <c r="H20" s="7"/>
    </row>
    <row r="21" customFormat="false" ht="15" hidden="false" customHeight="false" outlineLevel="0" collapsed="false">
      <c r="A21" s="5" t="n">
        <v>17</v>
      </c>
      <c r="B21" s="12" t="s">
        <v>71</v>
      </c>
      <c r="C21" s="6" t="s">
        <v>122</v>
      </c>
      <c r="D21" s="5" t="s">
        <v>55</v>
      </c>
      <c r="E21" s="8" t="s">
        <v>96</v>
      </c>
      <c r="F21" s="16"/>
      <c r="G21" s="7"/>
      <c r="H21" s="7"/>
    </row>
    <row r="22" customFormat="false" ht="15" hidden="false" customHeight="false" outlineLevel="0" collapsed="false">
      <c r="A22" s="5" t="n">
        <v>18</v>
      </c>
      <c r="B22" s="12" t="s">
        <v>72</v>
      </c>
      <c r="C22" s="6" t="s">
        <v>123</v>
      </c>
      <c r="D22" s="5" t="s">
        <v>124</v>
      </c>
      <c r="E22" s="8" t="s">
        <v>96</v>
      </c>
      <c r="F22" s="16"/>
      <c r="G22" s="7"/>
      <c r="H22" s="7"/>
    </row>
    <row r="23" customFormat="false" ht="15" hidden="false" customHeight="false" outlineLevel="0" collapsed="false">
      <c r="A23" s="5" t="n">
        <v>19</v>
      </c>
      <c r="B23" s="12" t="s">
        <v>72</v>
      </c>
      <c r="C23" s="6" t="s">
        <v>125</v>
      </c>
      <c r="D23" s="5" t="s">
        <v>124</v>
      </c>
      <c r="E23" s="8" t="s">
        <v>96</v>
      </c>
      <c r="F23" s="16"/>
      <c r="G23" s="7"/>
      <c r="H23" s="7"/>
    </row>
  </sheetData>
  <conditionalFormatting sqref="E5:E23">
    <cfRule type="cellIs" priority="2" operator="equal" aboveAverage="0" equalAverage="0" bottom="0" percent="0" rank="0" text="" dxfId="0">
      <formula>"NG"</formula>
    </cfRule>
    <cfRule type="cellIs" priority="3" operator="equal" aboveAverage="0" equalAverage="0" bottom="0" percent="0" rank="0" text="" dxfId="1">
      <formula>"OK"</formula>
    </cfRule>
  </conditionalFormatting>
  <dataValidations count="1">
    <dataValidation allowBlank="true" errorStyle="stop" operator="between" showDropDown="false" showErrorMessage="false" showInputMessage="false" sqref="E5:E23" type="list">
      <formula1>"OK,NG,未実施,対象外"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52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1" t="s">
        <v>126</v>
      </c>
    </row>
    <row r="3" customFormat="false" ht="17.15" hidden="false" customHeight="false" outlineLevel="0" collapsed="false">
      <c r="A3" s="3" t="s">
        <v>2</v>
      </c>
      <c r="B3" s="4" t="s">
        <v>127</v>
      </c>
      <c r="C3" s="4" t="s">
        <v>128</v>
      </c>
      <c r="D3" s="4" t="s">
        <v>129</v>
      </c>
    </row>
    <row r="4" customFormat="false" ht="15" hidden="false" customHeight="false" outlineLevel="0" collapsed="false">
      <c r="A4" s="5" t="n">
        <v>1</v>
      </c>
      <c r="B4" s="6" t="s">
        <v>130</v>
      </c>
      <c r="C4" s="6" t="s">
        <v>131</v>
      </c>
      <c r="D4" s="8" t="s">
        <v>132</v>
      </c>
    </row>
    <row r="5" customFormat="false" ht="15" hidden="false" customHeight="false" outlineLevel="0" collapsed="false">
      <c r="A5" s="5" t="n">
        <v>2</v>
      </c>
      <c r="B5" s="6" t="s">
        <v>133</v>
      </c>
      <c r="C5" s="6" t="s">
        <v>134</v>
      </c>
      <c r="D5" s="8" t="s">
        <v>132</v>
      </c>
    </row>
    <row r="6" customFormat="false" ht="15" hidden="false" customHeight="false" outlineLevel="0" collapsed="false">
      <c r="A6" s="5" t="n">
        <v>3</v>
      </c>
      <c r="B6" s="6" t="s">
        <v>135</v>
      </c>
      <c r="C6" s="6" t="s">
        <v>136</v>
      </c>
      <c r="D6" s="8" t="s">
        <v>132</v>
      </c>
    </row>
  </sheetData>
  <dataValidations count="1">
    <dataValidation allowBlank="true" errorStyle="stop" operator="between" showDropDown="false" showErrorMessage="false" showInputMessage="false" sqref="D4:D6" type="list">
      <formula1>"未対応,対応中,対応済"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2026-10-30T06:21:28Z</dcterms:created>
  <dc:creator>openpyxl</dc:creator>
  <dc:description/>
  <dc:language>en-US</dc:language>
  <cp:lastModifiedBy/>
  <dcterms:modified xsi:type="dcterms:W3CDTF">2026-10-30T06:21:28Z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